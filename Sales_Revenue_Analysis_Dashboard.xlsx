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hak kannan\Desktop\"/>
    </mc:Choice>
  </mc:AlternateContent>
  <xr:revisionPtr revIDLastSave="0" documentId="8_{4F8E73C3-6C83-4193-8805-256089B46F76}" xr6:coauthVersionLast="47" xr6:coauthVersionMax="47" xr10:uidLastSave="{00000000-0000-0000-0000-000000000000}"/>
  <bookViews>
    <workbookView xWindow="-108" yWindow="-108" windowWidth="23256" windowHeight="12456" xr2:uid="{283872C5-C7D4-47C3-9FAC-7D8A05365BDA}"/>
  </bookViews>
  <sheets>
    <sheet name="Sheet1" sheetId="1" r:id="rId1"/>
  </sheets>
  <definedNames>
    <definedName name="_xlnm._FilterDatabase" localSheetId="0" hidden="1">Sheet1!$A$1:$B$11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I5" i="1"/>
  <c r="I4" i="1"/>
  <c r="I3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<sst xmlns="http://schemas.openxmlformats.org/spreadsheetml/2006/main" count="44" uniqueCount="23">
  <si>
    <t>Date</t>
  </si>
  <si>
    <t>Product</t>
  </si>
  <si>
    <t>Category</t>
  </si>
  <si>
    <t>Quantity</t>
  </si>
  <si>
    <t>Unit Price</t>
  </si>
  <si>
    <t>Revenue</t>
  </si>
  <si>
    <t>Laptop</t>
  </si>
  <si>
    <t>Mobile</t>
  </si>
  <si>
    <t>Headphone</t>
  </si>
  <si>
    <t>Keyboard</t>
  </si>
  <si>
    <t>Mouse</t>
  </si>
  <si>
    <t>Tablet</t>
  </si>
  <si>
    <t>Smartwatch</t>
  </si>
  <si>
    <t>Earbuds</t>
  </si>
  <si>
    <t>Monitor</t>
  </si>
  <si>
    <t>Powerbank</t>
  </si>
  <si>
    <t>Electronics</t>
  </si>
  <si>
    <t>Accessories</t>
  </si>
  <si>
    <t>Wearable</t>
  </si>
  <si>
    <t>Dashboard KPIs</t>
  </si>
  <si>
    <t>Total Revenue</t>
  </si>
  <si>
    <t>Total Quantity Sold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</si>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</sst>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35870516185477"/>
          <c:y val="0.13930555555555557"/>
          <c:w val="0.85219685039370074"/>
          <c:h val="0.59146434820647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Sheet1!$M$2:$M$11</c:f>
              <c:strCache>
                <c:ptCount val="10"/>
                <c:pt idx="0">
                  <c:v>Laptop</c:v>
                </c:pt>
                <c:pt idx="1">
                  <c:v>Mobile</c:v>
                </c:pt>
                <c:pt idx="2">
                  <c:v>Headphone</c:v>
                </c:pt>
                <c:pt idx="3">
                  <c:v>Keyboard</c:v>
                </c:pt>
                <c:pt idx="4">
                  <c:v>Mouse</c:v>
                </c:pt>
                <c:pt idx="5">
                  <c:v>Tablet</c:v>
                </c:pt>
                <c:pt idx="6">
                  <c:v>Smartwatch</c:v>
                </c:pt>
                <c:pt idx="7">
                  <c:v>Earbuds</c:v>
                </c:pt>
                <c:pt idx="8">
                  <c:v>Monitor</c:v>
                </c:pt>
                <c:pt idx="9">
                  <c:v>Powerbank</c:v>
                </c:pt>
              </c:strCache>
            </c:strRef>
          </c:cat>
          <c:val>
            <c:numRef>
              <c:f>Sheet1!$N$2:$N$11</c:f>
              <c:numCache>
                <c:formatCode>General</c:formatCode>
                <c:ptCount val="10"/>
                <c:pt idx="0">
                  <c:v>250000</c:v>
                </c:pt>
                <c:pt idx="1">
                  <c:v>200000</c:v>
                </c:pt>
                <c:pt idx="2">
                  <c:v>30000</c:v>
                </c:pt>
                <c:pt idx="3">
                  <c:v>12000</c:v>
                </c:pt>
                <c:pt idx="4">
                  <c:v>9600</c:v>
                </c:pt>
                <c:pt idx="5">
                  <c:v>180000</c:v>
                </c:pt>
                <c:pt idx="6">
                  <c:v>45000</c:v>
                </c:pt>
                <c:pt idx="7">
                  <c:v>50000</c:v>
                </c:pt>
                <c:pt idx="8">
                  <c:v>480000</c:v>
                </c:pt>
                <c:pt idx="9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4-4187-B15F-06771881A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363263"/>
        <c:axId val="1928352703"/>
      </c:barChart>
      <c:catAx>
        <c:axId val="19283632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352703"/>
        <c:crosses val="autoZero"/>
        <c:auto val="1"/>
        <c:lblAlgn val="ctr"/>
        <c:lblOffset val="100"/>
        <c:noMultiLvlLbl val="0"/>
      </c:catAx>
      <c:valAx>
        <c:axId val="192835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6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Sheet1!$R$2:$R$13</c:f>
              <c:numCache>
                <c:formatCode>m/d/yyyy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</c:numCache>
            </c:numRef>
          </c:cat>
          <c:val>
            <c:numRef>
              <c:f>Sheet1!$S$2:$S$13</c:f>
              <c:numCache>
                <c:formatCode>General</c:formatCode>
                <c:ptCount val="12"/>
                <c:pt idx="0">
                  <c:v>250000</c:v>
                </c:pt>
                <c:pt idx="1">
                  <c:v>200000</c:v>
                </c:pt>
                <c:pt idx="2">
                  <c:v>30000</c:v>
                </c:pt>
                <c:pt idx="3">
                  <c:v>12000</c:v>
                </c:pt>
                <c:pt idx="4">
                  <c:v>9600</c:v>
                </c:pt>
                <c:pt idx="5">
                  <c:v>180000</c:v>
                </c:pt>
                <c:pt idx="6">
                  <c:v>45000</c:v>
                </c:pt>
                <c:pt idx="7">
                  <c:v>50000</c:v>
                </c:pt>
                <c:pt idx="8">
                  <c:v>480000</c:v>
                </c:pt>
                <c:pt idx="9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D-4D4D-B234-CE404B546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354143"/>
        <c:axId val="1928350783"/>
      </c:lineChart>
      <c:dateAx>
        <c:axId val="1928354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50783"/>
        <c:crosses val="autoZero"/>
        <c:auto val="1"/>
        <c:lblOffset val="100"/>
        <c:baseTimeUnit val="days"/>
      </c:dateAx>
      <c:valAx>
        <c:axId val="192835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35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605337</xdr:colOff>
      <xdr:row>6</xdr:row>
      <xdr:rowOff>13936</xdr:rowOff>
    </xdr:from>
    <xdr:to>
      <xdr:col>14</xdr:col>
      <xdr:colOff>0</xdr:colOff>
      <xdr:row>20</xdr:row>
      <xdr:rowOff>20051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696A9-0B86-5BE1-C1F2-69E52B555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4688</xdr:colOff>
      <xdr:row>5</xdr:row>
      <xdr:rowOff>175211</xdr:rowOff>
    </xdr:from>
    <xdr:to>
      <xdr:col>20</xdr:col>
      <xdr:colOff>601579</xdr:colOff>
      <xdr:row>20</xdr:row>
      <xdr:rowOff>20052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B0B85-1347-0C21-0FE2-89CA5E948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08B7-5CAC-40ED-8EEA-C5A6A3115708}">
  <dimension ref="A1:S11"/>
  <sheetViews>
    <sheetView tabSelected="1" zoomScale="76" workbookViewId="0">
      <selection activeCell="W13" sqref="W13"/>
    </sheetView>
  </sheetViews>
  <sheetFormatPr defaultRowHeight="14.4" x14ac:dyDescent="0.3"/>
  <cols>
    <col min="1" max="1" width="11.21875" customWidth="1"/>
    <col min="2" max="2" width="10.6640625" customWidth="1"/>
    <col min="3" max="3" width="9.6640625" customWidth="1"/>
    <col min="8" max="8" width="23.44140625" customWidth="1"/>
    <col min="9" max="9" width="24.44140625" customWidth="1"/>
    <col min="13" max="13" width="11" customWidth="1"/>
    <col min="18" max="18" width="10.33203125" bestFit="1" customWidth="1"/>
  </cols>
  <sheetData>
    <row r="1" spans="1:19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19</v>
      </c>
      <c r="I1" s="2"/>
      <c r="M1" t="s">
        <v>1</v>
      </c>
      <c r="N1" t="s">
        <v>5</v>
      </c>
      <c r="R1" t="s">
        <v>0</v>
      </c>
      <c r="S1" t="s">
        <v>5</v>
      </c>
    </row>
    <row r="2" spans="1:19" ht="18" x14ac:dyDescent="0.35">
      <c r="A2" s="1">
        <v>46174</v>
      </c>
      <c r="B2" t="s">
        <v>6</v>
      </c>
      <c r="C2" t="s">
        <v>16</v>
      </c>
      <c r="D2">
        <v>5</v>
      </c>
      <c r="E2">
        <v>50000</v>
      </c>
      <c r="F2">
        <f>D2*E2</f>
        <v>250000</v>
      </c>
      <c r="H2" s="2"/>
      <c r="I2" s="2"/>
      <c r="M2" t="s">
        <v>6</v>
      </c>
      <c r="N2">
        <f>VLOOKUP(M2,$B$2:$F$11,5,FALSE)</f>
        <v>250000</v>
      </c>
      <c r="R2" s="1">
        <v>46174</v>
      </c>
      <c r="S2">
        <v>250000</v>
      </c>
    </row>
    <row r="3" spans="1:19" ht="18" x14ac:dyDescent="0.35">
      <c r="A3" s="1">
        <v>46175</v>
      </c>
      <c r="B3" t="s">
        <v>7</v>
      </c>
      <c r="C3" t="s">
        <v>16</v>
      </c>
      <c r="D3">
        <v>10</v>
      </c>
      <c r="E3">
        <v>20000</v>
      </c>
      <c r="F3">
        <f t="shared" ref="F3:F11" si="0">D3*E3</f>
        <v>200000</v>
      </c>
      <c r="H3" s="2" t="s">
        <v>20</v>
      </c>
      <c r="I3" s="2">
        <f>SUM(F2:F11)</f>
        <v>1274600</v>
      </c>
      <c r="M3" t="s">
        <v>7</v>
      </c>
      <c r="N3">
        <f t="shared" ref="N3:N11" si="1">VLOOKUP(M3,$B$2:$F$11,5,FALSE)</f>
        <v>200000</v>
      </c>
      <c r="R3" s="1">
        <v>46175</v>
      </c>
      <c r="S3">
        <v>200000</v>
      </c>
    </row>
    <row r="4" spans="1:19" ht="18" x14ac:dyDescent="0.35">
      <c r="A4" s="1">
        <v>46176</v>
      </c>
      <c r="B4" t="s">
        <v>8</v>
      </c>
      <c r="C4" t="s">
        <v>17</v>
      </c>
      <c r="D4">
        <v>15</v>
      </c>
      <c r="E4">
        <v>2000</v>
      </c>
      <c r="F4">
        <f t="shared" si="0"/>
        <v>30000</v>
      </c>
      <c r="H4" s="2" t="s">
        <v>21</v>
      </c>
      <c r="I4" s="2">
        <f>SUM(D2:D11)</f>
        <v>107</v>
      </c>
      <c r="M4" t="s">
        <v>8</v>
      </c>
      <c r="N4">
        <f t="shared" si="1"/>
        <v>30000</v>
      </c>
      <c r="R4" s="1">
        <v>46176</v>
      </c>
      <c r="S4">
        <v>30000</v>
      </c>
    </row>
    <row r="5" spans="1:19" ht="18" x14ac:dyDescent="0.35">
      <c r="A5" s="1">
        <v>46177</v>
      </c>
      <c r="B5" t="s">
        <v>9</v>
      </c>
      <c r="C5" t="s">
        <v>17</v>
      </c>
      <c r="D5">
        <v>8</v>
      </c>
      <c r="E5">
        <v>1500</v>
      </c>
      <c r="F5">
        <f t="shared" si="0"/>
        <v>12000</v>
      </c>
      <c r="H5" s="2" t="s">
        <v>22</v>
      </c>
      <c r="I5" s="2">
        <f>COUNTA(A2:A11)</f>
        <v>10</v>
      </c>
      <c r="M5" t="s">
        <v>9</v>
      </c>
      <c r="N5">
        <f t="shared" si="1"/>
        <v>12000</v>
      </c>
      <c r="R5" s="1">
        <v>46177</v>
      </c>
      <c r="S5">
        <v>12000</v>
      </c>
    </row>
    <row r="6" spans="1:19" x14ac:dyDescent="0.3">
      <c r="A6" s="1">
        <v>46178</v>
      </c>
      <c r="B6" t="s">
        <v>10</v>
      </c>
      <c r="C6" t="s">
        <v>17</v>
      </c>
      <c r="D6">
        <v>12</v>
      </c>
      <c r="E6">
        <v>800</v>
      </c>
      <c r="F6">
        <f t="shared" si="0"/>
        <v>9600</v>
      </c>
      <c r="M6" t="s">
        <v>10</v>
      </c>
      <c r="N6">
        <f t="shared" si="1"/>
        <v>9600</v>
      </c>
      <c r="R6" s="1">
        <v>46178</v>
      </c>
      <c r="S6">
        <v>9600</v>
      </c>
    </row>
    <row r="7" spans="1:19" x14ac:dyDescent="0.3">
      <c r="A7" s="1">
        <v>46179</v>
      </c>
      <c r="B7" t="s">
        <v>11</v>
      </c>
      <c r="C7" t="s">
        <v>16</v>
      </c>
      <c r="D7">
        <v>6</v>
      </c>
      <c r="E7">
        <v>30000</v>
      </c>
      <c r="F7">
        <f t="shared" si="0"/>
        <v>180000</v>
      </c>
      <c r="M7" t="s">
        <v>11</v>
      </c>
      <c r="N7">
        <f t="shared" si="1"/>
        <v>180000</v>
      </c>
      <c r="R7" s="1">
        <v>46179</v>
      </c>
      <c r="S7">
        <v>180000</v>
      </c>
    </row>
    <row r="8" spans="1:19" x14ac:dyDescent="0.3">
      <c r="A8" s="1">
        <v>46180</v>
      </c>
      <c r="B8" t="s">
        <v>12</v>
      </c>
      <c r="C8" t="s">
        <v>18</v>
      </c>
      <c r="D8">
        <v>9</v>
      </c>
      <c r="E8">
        <v>5000</v>
      </c>
      <c r="F8">
        <f t="shared" si="0"/>
        <v>45000</v>
      </c>
      <c r="M8" t="s">
        <v>12</v>
      </c>
      <c r="N8">
        <f t="shared" si="1"/>
        <v>45000</v>
      </c>
      <c r="R8" s="1">
        <v>46180</v>
      </c>
      <c r="S8">
        <v>45000</v>
      </c>
    </row>
    <row r="9" spans="1:19" x14ac:dyDescent="0.3">
      <c r="A9" s="1">
        <v>46181</v>
      </c>
      <c r="B9" t="s">
        <v>13</v>
      </c>
      <c r="C9" t="s">
        <v>17</v>
      </c>
      <c r="D9">
        <v>20</v>
      </c>
      <c r="E9">
        <v>2500</v>
      </c>
      <c r="F9">
        <f t="shared" si="0"/>
        <v>50000</v>
      </c>
      <c r="M9" t="s">
        <v>13</v>
      </c>
      <c r="N9">
        <f t="shared" si="1"/>
        <v>50000</v>
      </c>
      <c r="R9" s="1">
        <v>46181</v>
      </c>
      <c r="S9">
        <v>50000</v>
      </c>
    </row>
    <row r="10" spans="1:19" x14ac:dyDescent="0.3">
      <c r="A10" s="1">
        <v>46182</v>
      </c>
      <c r="B10" t="s">
        <v>14</v>
      </c>
      <c r="C10" t="s">
        <v>16</v>
      </c>
      <c r="D10">
        <v>4</v>
      </c>
      <c r="E10">
        <v>120000</v>
      </c>
      <c r="F10">
        <f t="shared" si="0"/>
        <v>480000</v>
      </c>
      <c r="M10" t="s">
        <v>14</v>
      </c>
      <c r="N10">
        <f t="shared" si="1"/>
        <v>480000</v>
      </c>
      <c r="R10" s="1">
        <v>46182</v>
      </c>
      <c r="S10">
        <v>480000</v>
      </c>
    </row>
    <row r="11" spans="1:19" x14ac:dyDescent="0.3">
      <c r="A11" s="1">
        <v>46183</v>
      </c>
      <c r="B11" t="s">
        <v>15</v>
      </c>
      <c r="C11" t="s">
        <v>17</v>
      </c>
      <c r="D11">
        <v>18</v>
      </c>
      <c r="E11">
        <v>1000</v>
      </c>
      <c r="F11">
        <f t="shared" si="0"/>
        <v>18000</v>
      </c>
      <c r="M11" t="s">
        <v>15</v>
      </c>
      <c r="N11">
        <f t="shared" si="1"/>
        <v>18000</v>
      </c>
      <c r="R11" s="1">
        <v>46183</v>
      </c>
      <c r="S11">
        <v>18000</v>
      </c>
    </row>
  </sheetData>
  <autoFilter ref="A1:B11" xr:uid="{A97A08B7-5CAC-40ED-8EEA-C5A6A311570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 kannan Muthazhagan</dc:creator>
  <cp:lastModifiedBy>Anandhak kannan Muthazhagan</cp:lastModifiedBy>
  <dcterms:created xsi:type="dcterms:W3CDTF">2026-06-17T01:22:50Z</dcterms:created>
  <dcterms:modified xsi:type="dcterms:W3CDTF">2026-06-17T02:23:28Z</dcterms:modified>
</cp:coreProperties>
</file>